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30990b97c41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stainability_Data" sheetId="1" r:id="R74785b17a29247e7"/>
    <x:sheet xmlns:r="http://schemas.openxmlformats.org/officeDocument/2006/relationships" name="Nutrition_Model" sheetId="2" r:id="Re65974513cbd4b15"/>
    <x:sheet xmlns:r="http://schemas.openxmlformats.org/officeDocument/2006/relationships" name="Meal_Calculator" sheetId="3" r:id="R1c258678e6f14a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"/>
    <x:numFmt numFmtId="202" formatCode="0.0"/>
    <x:numFmt numFmtId="203" formatCode="0.000"/>
  </x:numFmts>
  <x:fonts count="3">
    <x:font>
      <x:sz val="11"/>
      <x:name val="Carlito"/>
    </x:font>
    <x:font>
      <x:b/>
      <x:sz val="11"/>
      <x:name val="Carlito"/>
    </x:font>
    <x:font>
      <x:b/>
      <x:sz val="16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0" borderId="0" xfId="0" applyNumberFormat="1" applyFont="1" applyFill="0" applyBorder="1"/>
    <x:xf numFmtId="0" fontId="0" borderId="1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2c7bbd093f45b0" /><Relationship Type="http://schemas.openxmlformats.org/officeDocument/2006/relationships/theme" Target="/xl/theme/theme1.xml" Id="Ra55c8ad70fca4ffe" /><Relationship Type="http://schemas.openxmlformats.org/officeDocument/2006/relationships/sharedStrings" Target="/xl/sharedStrings.xml" Id="R1e60269953c744fd" /><Relationship Type="http://schemas.openxmlformats.org/officeDocument/2006/relationships/worksheet" Target="/xl/worksheets/sheet1.xml" Id="R74785b17a29247e7" /><Relationship Type="http://schemas.openxmlformats.org/officeDocument/2006/relationships/worksheet" Target="/xl/worksheets/sheet2.xml" Id="Re65974513cbd4b15" /><Relationship Type="http://schemas.openxmlformats.org/officeDocument/2006/relationships/worksheet" Target="/xl/worksheets/sheet3.xml" Id="R1c258678e6f14a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12" hidden="0" customWidth="1"/>
    <x:col min="5" max="5" width="11" hidden="0" customWidth="1"/>
    <x:col min="6" max="6" width="11" hidden="0" customWidth="1"/>
    <x:col min="7" max="7" width="11" hidden="0" customWidth="1"/>
    <x:col min="8" max="8" width="13" hidden="0" customWidth="1"/>
    <x:col min="9" max="9" width="15" hidden="0" customWidth="1"/>
    <x:col min="10" max="10" width="40" hidden="0" customWidth="1"/>
  </x:cols>
  <x:sheetData>
    <x:row r="1">
      <x:c r="A1" s="6" t="str">
        <x:v>OWID Sustainability Scoring Model</x:v>
      </x:c>
    </x:row>
    <x:row r="4">
      <x:c r="A4" s="10" t="str">
        <x:v>Metric</x:v>
      </x:c>
      <x:c r="B4" s="10" t="str">
        <x:v>Value</x:v>
      </x:c>
      <x:c r="C4" s="2"/>
      <x:c r="D4" s="10" t="str">
        <x:v>Formula Piece</x:v>
      </x:c>
      <x:c r="E4" s="10" t="str">
        <x:v>Definition</x:v>
      </x:c>
      <x:c r="F4" s="10" t="str">
        <x:v>Excel Formula Form</x:v>
      </x:c>
    </x:row>
    <x:row r="5">
      <x:c r="A5" t="str">
        <x:v>Carbon max (kg CO2e/kg)</x:v>
      </x:c>
      <x:c r="B5" s="12" t="n">
        <x:v>99.48</x:v>
      </x:c>
      <x:c r="D5" t="str">
        <x:v>Carbon normalized</x:v>
      </x:c>
      <x:c r="E5" t="str">
        <x:v>carbon / max carbon</x:v>
      </x:c>
      <x:c r="F5" t="n">
        <x:f>B11/$B$5</x:f>
        <x:v>1</x:v>
      </x:c>
    </x:row>
    <x:row r="6">
      <x:c r="A6" t="str">
        <x:v>Land max (m^2/kg)</x:v>
      </x:c>
      <x:c r="B6" s="12" t="n">
        <x:v>369.81</x:v>
      </x:c>
      <x:c r="D6" t="str">
        <x:v>Land normalized</x:v>
      </x:c>
      <x:c r="E6" t="str">
        <x:v>land / max land</x:v>
      </x:c>
      <x:c r="F6" t="n">
        <x:f>C11/$B$6</x:f>
        <x:v>0.8821016197506827</x:v>
      </x:c>
    </x:row>
    <x:row r="7">
      <x:c r="A7" t="str">
        <x:v>Water max (L/kg)</x:v>
      </x:c>
      <x:c r="B7" s="12" t="n">
        <x:v>5605</x:v>
      </x:c>
      <x:c r="D7" t="str">
        <x:v>Water normalized</x:v>
      </x:c>
      <x:c r="E7" t="str">
        <x:v>water / max water</x:v>
      </x:c>
      <x:c r="F7" t="n">
        <x:f>D11/$B$7</x:f>
        <x:v>0.25887600356824264</x:v>
      </x:c>
    </x:row>
    <x:row r="8">
      <x:c r="A8" t="str">
        <x:v>Minimum burden in dataset</x:v>
      </x:c>
      <x:c r="B8" s="12" t="n">
        <x:v>0.002859500452737389</x:v>
      </x:c>
      <x:c r="D8" t="str">
        <x:v>Burden</x:v>
      </x:c>
      <x:c r="E8" t="str">
        <x:v>average of normalized carbon, land, water</x:v>
      </x:c>
      <x:c r="F8" t="n">
        <x:f>AVERAGE(E11:G11)</x:f>
        <x:v>0.7136592077729751</x:v>
      </x:c>
    </x:row>
    <x:row r="9">
      <x:c r="A9" t="str">
        <x:v>Maximum burden in dataset</x:v>
      </x:c>
      <x:c r="B9" s="12" t="n">
        <x:v>0.7136592077729751</x:v>
      </x:c>
    </x:row>
    <x:row r="10">
      <x:c r="A10" s="10" t="str">
        <x:v>Food Item</x:v>
      </x:c>
      <x:c r="B10" s="10" t="str">
        <x:v>Carbon (kg CO2e/kg)</x:v>
      </x:c>
      <x:c r="C10" s="10" t="str">
        <x:v>Land (m^2/kg)</x:v>
      </x:c>
      <x:c r="D10" s="10" t="str">
        <x:v>Water (L/kg)</x:v>
      </x:c>
      <x:c r="E10" s="10" t="str">
        <x:v>Carbon Norm</x:v>
      </x:c>
      <x:c r="F10" s="10" t="str">
        <x:v>Land Norm</x:v>
      </x:c>
      <x:c r="G10" s="10" t="str">
        <x:v>Water Norm</x:v>
      </x:c>
      <x:c r="H10" s="10" t="str">
        <x:v>Environmental Burden</x:v>
      </x:c>
      <x:c r="I10" s="10" t="str">
        <x:v>Sustainability Score (0-100)</x:v>
      </x:c>
      <x:c r="J10" s="10" t="str">
        <x:v>Source</x:v>
      </x:c>
    </x:row>
    <x:row r="11">
      <x:c r="A11" t="str">
        <x:v>Beef (beef herd)</x:v>
      </x:c>
      <x:c r="B11" s="14" t="n">
        <x:v>99.48</x:v>
      </x:c>
      <x:c r="C11" s="14" t="n">
        <x:v>326.21</x:v>
      </x:c>
      <x:c r="D11" s="14" t="n">
        <x:v>1451</x:v>
      </x:c>
      <x:c r="E11" s="12" t="n">
        <x:f>B11/$B$5</x:f>
        <x:v>1</x:v>
      </x:c>
      <x:c r="F11" s="12" t="n">
        <x:f>C11/$B$6</x:f>
        <x:v>0.8821016197506827</x:v>
      </x:c>
      <x:c r="G11" s="12" t="n">
        <x:f>D11/$B$7</x:f>
        <x:v>0.25887600356824264</x:v>
      </x:c>
      <x:c r="H11" s="12" t="n">
        <x:f>AVERAGE(E11:G11)</x:f>
        <x:v>0.7136592077729751</x:v>
      </x:c>
      <x:c r="I11" s="16" t="n">
        <x:f>100*($B$9-H11)/($B$9-$B$8)</x:f>
        <x:v>0</x:v>
      </x:c>
      <x:c r="J11" t="str">
        <x:v>https://ourworldindata.org/environmental-impacts-of-food</x:v>
      </x:c>
    </x:row>
    <x:row r="12">
      <x:c r="A12" t="str">
        <x:v>Dark Chocolate</x:v>
      </x:c>
      <x:c r="B12" s="14" t="n">
        <x:v>46.65</x:v>
      </x:c>
      <x:c r="C12" s="14" t="n">
        <x:v>68.96</x:v>
      </x:c>
      <x:c r="D12" s="14" t="n">
        <x:v>541</x:v>
      </x:c>
      <x:c r="E12" s="12" t="n">
        <x:f>B12/$B$5</x:f>
        <x:v>0.4689384800965018</x:v>
      </x:c>
      <x:c r="F12" s="12" t="n">
        <x:f>C12/$B$6</x:f>
        <x:v>0.18647413536680996</x:v>
      </x:c>
      <x:c r="G12" s="12" t="n">
        <x:f>D12/$B$7</x:f>
        <x:v>0.09652096342551293</x:v>
      </x:c>
      <x:c r="H12" s="12" t="n">
        <x:f>AVERAGE(E12:G12)</x:f>
        <x:v>0.2506445262962749</x:v>
      </x:c>
      <x:c r="I12" s="16" t="n">
        <x:f>100*($B$9-H12)/($B$9-$B$8)</x:f>
        <x:v>65.13996512777086</x:v>
      </x:c>
      <x:c r="J12" t="str">
        <x:v>https://ourworldindata.org/environmental-impacts-of-food</x:v>
      </x:c>
    </x:row>
    <x:row r="13">
      <x:c r="A13" t="str">
        <x:v>Lamb &amp; Mutton</x:v>
      </x:c>
      <x:c r="B13" s="14" t="n">
        <x:v>39.72</x:v>
      </x:c>
      <x:c r="C13" s="14" t="n">
        <x:v>369.81</x:v>
      </x:c>
      <x:c r="D13" s="14" t="n">
        <x:v>1803</x:v>
      </x:c>
      <x:c r="E13" s="12" t="n">
        <x:f>B13/$B$5</x:f>
        <x:v>0.39927623642943305</x:v>
      </x:c>
      <x:c r="F13" s="12" t="n">
        <x:f>C13/$B$6</x:f>
        <x:v>1</x:v>
      </x:c>
      <x:c r="G13" s="12" t="n">
        <x:f>D13/$B$7</x:f>
        <x:v>0.3216770740410348</x:v>
      </x:c>
      <x:c r="H13" s="12" t="n">
        <x:f>AVERAGE(E13:G13)</x:f>
        <x:v>0.573651103490156</x:v>
      </x:c>
      <x:c r="I13" s="16" t="n">
        <x:f>100*($B$9-H13)/($B$9-$B$8)</x:f>
        <x:v>19.69726532536978</x:v>
      </x:c>
      <x:c r="J13" t="str">
        <x:v>https://ourworldindata.org/environmental-impacts-of-food</x:v>
      </x:c>
    </x:row>
    <x:row r="14">
      <x:c r="A14" t="str">
        <x:v>Beef (dairy herd)</x:v>
      </x:c>
      <x:c r="B14" s="14" t="n">
        <x:v>33.3</x:v>
      </x:c>
      <x:c r="C14" s="14" t="n">
        <x:v>43.24</x:v>
      </x:c>
      <x:c r="D14" s="14" t="n">
        <x:v>2714</x:v>
      </x:c>
      <x:c r="E14" s="12" t="n">
        <x:f>B14/$B$5</x:f>
        <x:v>0.3347406513872135</x:v>
      </x:c>
      <x:c r="F14" s="12" t="n">
        <x:f>C14/$B$6</x:f>
        <x:v>0.11692490738487332</x:v>
      </x:c>
      <x:c r="G14" s="12" t="n">
        <x:f>D14/$B$7</x:f>
        <x:v>0.4842105263157895</x:v>
      </x:c>
      <x:c r="H14" s="12" t="n">
        <x:f>AVERAGE(E14:G14)</x:f>
        <x:v>0.3119586950292921</x:v>
      </x:c>
      <x:c r="I14" s="16" t="n">
        <x:f>100*($B$9-H14)/($B$9-$B$8)</x:f>
        <x:v>56.51388268829215</x:v>
      </x:c>
      <x:c r="J14" t="str">
        <x:v>https://ourworldindata.org/environmental-impacts-of-food</x:v>
      </x:c>
    </x:row>
    <x:row r="15">
      <x:c r="A15" t="str">
        <x:v>Coffee</x:v>
      </x:c>
      <x:c r="B15" s="14" t="n">
        <x:v>28.53</x:v>
      </x:c>
      <x:c r="C15" s="14" t="n">
        <x:v>21.62</x:v>
      </x:c>
      <x:c r="D15" s="14" t="n">
        <x:v>26</x:v>
      </x:c>
      <x:c r="E15" s="12" t="n">
        <x:f>B15/$B$5</x:f>
        <x:v>0.2867913148371532</x:v>
      </x:c>
      <x:c r="F15" s="12" t="n">
        <x:f>C15/$B$6</x:f>
        <x:v>0.05846245369243666</x:v>
      </x:c>
      <x:c r="G15" s="12" t="n">
        <x:f>D15/$B$7</x:f>
        <x:v>0.0046387154326494205</x:v>
      </x:c>
      <x:c r="H15" s="12" t="n">
        <x:f>AVERAGE(E15:G15)</x:f>
        <x:v>0.1166308279874131</x:v>
      </x:c>
      <x:c r="I15" s="16" t="n">
        <x:f>100*($B$9-H15)/($B$9-$B$8)</x:f>
        <x:v>83.993897807921</x:v>
      </x:c>
      <x:c r="J15" t="str">
        <x:v>https://ourworldindata.org/environmental-impacts-of-food</x:v>
      </x:c>
    </x:row>
    <x:row r="16">
      <x:c r="A16" t="str">
        <x:v>Prawns (farmed)</x:v>
      </x:c>
      <x:c r="B16" s="14" t="n">
        <x:v>26.87</x:v>
      </x:c>
      <x:c r="C16" s="14" t="n">
        <x:v>2.97</x:v>
      </x:c>
      <x:c r="D16" s="14" t="n">
        <x:v>3515</x:v>
      </x:c>
      <x:c r="E16" s="12" t="n">
        <x:f>B16/$B$5</x:f>
        <x:v>0.27010454362685965</x:v>
      </x:c>
      <x:c r="F16" s="12" t="n">
        <x:f>C16/$B$6</x:f>
        <x:v>0.008031151131662206</x:v>
      </x:c>
      <x:c r="G16" s="12" t="n">
        <x:f>D16/$B$7</x:f>
        <x:v>0.6271186440677966</x:v>
      </x:c>
      <x:c r="H16" s="12" t="n">
        <x:f>AVERAGE(E16:G16)</x:f>
        <x:v>0.3017514462754395</x:v>
      </x:c>
      <x:c r="I16" s="16" t="n">
        <x:f>100*($B$9-H16)/($B$9-$B$8)</x:f>
        <x:v>57.94990589549556</x:v>
      </x:c>
      <x:c r="J16" t="str">
        <x:v>https://ourworldindata.org/environmental-impacts-of-food</x:v>
      </x:c>
    </x:row>
    <x:row r="17">
      <x:c r="A17" t="str">
        <x:v>Cheese</x:v>
      </x:c>
      <x:c r="B17" s="14" t="n">
        <x:v>23.88</x:v>
      </x:c>
      <x:c r="C17" s="14" t="n">
        <x:v>87.79</x:v>
      </x:c>
      <x:c r="D17" s="14" t="n">
        <x:v>5605</x:v>
      </x:c>
      <x:c r="E17" s="12" t="n">
        <x:f>B17/$B$5</x:f>
        <x:v>0.24004825090470444</x:v>
      </x:c>
      <x:c r="F17" s="12" t="n">
        <x:f>C17/$B$6</x:f>
        <x:v>0.2373921743598064</x:v>
      </x:c>
      <x:c r="G17" s="12" t="n">
        <x:f>D17/$B$7</x:f>
        <x:v>1</x:v>
      </x:c>
      <x:c r="H17" s="12" t="n">
        <x:f>AVERAGE(E17:G17)</x:f>
        <x:v>0.49248014175483695</x:v>
      </x:c>
      <x:c r="I17" s="16" t="n">
        <x:f>100*($B$9-H17)/($B$9-$B$8)</x:f>
        <x:v>31.116932623959283</x:v>
      </x:c>
      <x:c r="J17" t="str">
        <x:v>https://ourworldindata.org/environmental-impacts-of-food</x:v>
      </x:c>
    </x:row>
    <x:row r="18">
      <x:c r="A18" t="str">
        <x:v>Fish (farmed)</x:v>
      </x:c>
      <x:c r="B18" s="14" t="n">
        <x:v>13.63</x:v>
      </x:c>
      <x:c r="C18" s="14" t="n">
        <x:v>8.41</x:v>
      </x:c>
      <x:c r="D18" s="14" t="n">
        <x:v>3691</x:v>
      </x:c>
      <x:c r="E18" s="12" t="n">
        <x:f>B18/$B$5</x:f>
        <x:v>0.13701246481704865</x:v>
      </x:c>
      <x:c r="F18" s="12" t="n">
        <x:f>C18/$B$6</x:f>
        <x:v>0.022741407749925637</x:v>
      </x:c>
      <x:c r="G18" s="12" t="n">
        <x:f>D18/$B$7</x:f>
        <x:v>0.6585191793041927</x:v>
      </x:c>
      <x:c r="H18" s="12" t="n">
        <x:f>AVERAGE(E18:G18)</x:f>
        <x:v>0.27275768395705563</x:v>
      </x:c>
      <x:c r="I18" s="16" t="n">
        <x:f>100*($B$9-H18)/($B$9-$B$8)</x:f>
        <x:v>62.02893997778188</x:v>
      </x:c>
      <x:c r="J18" t="str">
        <x:v>https://ourworldindata.org/environmental-impacts-of-food</x:v>
      </x:c>
    </x:row>
    <x:row r="19">
      <x:c r="A19" t="str">
        <x:v>Pig Meat</x:v>
      </x:c>
      <x:c r="B19" s="14" t="n">
        <x:v>12.31</x:v>
      </x:c>
      <x:c r="C19" s="14" t="n">
        <x:v>17.36</x:v>
      </x:c>
      <x:c r="D19" s="14" t="n">
        <x:v>1796</x:v>
      </x:c>
      <x:c r="E19" s="12" t="n">
        <x:f>B19/$B$5</x:f>
        <x:v>0.12374346602332127</x:v>
      </x:c>
      <x:c r="F19" s="12" t="n">
        <x:f>C19/$B$6</x:f>
        <x:v>0.04694302479651713</x:v>
      </x:c>
      <x:c r="G19" s="12" t="n">
        <x:f>D19/$B$7</x:f>
        <x:v>0.32042818911685994</x:v>
      </x:c>
      <x:c r="H19" s="12" t="n">
        <x:f>AVERAGE(E19:G19)</x:f>
        <x:v>0.16370489331223279</x:v>
      </x:c>
      <x:c r="I19" s="16" t="n">
        <x:f>100*($B$9-H19)/($B$9-$B$8)</x:f>
        <x:v>77.37120721871239</x:v>
      </x:c>
      <x:c r="J19" t="str">
        <x:v>https://ourworldindata.org/environmental-impacts-of-food</x:v>
      </x:c>
    </x:row>
    <x:row r="20">
      <x:c r="A20" t="str">
        <x:v>Poultry Meat</x:v>
      </x:c>
      <x:c r="B20" s="14" t="n">
        <x:v>9.87</x:v>
      </x:c>
      <x:c r="C20" s="14" t="n">
        <x:v>12.22</x:v>
      </x:c>
      <x:c r="D20" s="14" t="n">
        <x:v>660</x:v>
      </x:c>
      <x:c r="E20" s="12" t="n">
        <x:f>B20/$B$5</x:f>
        <x:v>0.09921592279855246</x:v>
      </x:c>
      <x:c r="F20" s="12" t="n">
        <x:f>C20/$B$6</x:f>
        <x:v>0.033043995565290286</x:v>
      </x:c>
      <x:c r="G20" s="12" t="n">
        <x:f>D20/$B$7</x:f>
        <x:v>0.11775200713648529</x:v>
      </x:c>
      <x:c r="H20" s="12" t="n">
        <x:f>AVERAGE(E20:G20)</x:f>
        <x:v>0.08333730850010934</x:v>
      </x:c>
      <x:c r="I20" s="16" t="n">
        <x:f>100*($B$9-H20)/($B$9-$B$8)</x:f>
        <x:v>88.67785014279498</x:v>
      </x:c>
      <x:c r="J20" t="str">
        <x:v>https://ourworldindata.org/environmental-impacts-of-food</x:v>
      </x:c>
    </x:row>
    <x:row r="21">
      <x:c r="A21" t="str">
        <x:v>Eggs</x:v>
      </x:c>
      <x:c r="B21" s="14" t="n">
        <x:v>4.67</x:v>
      </x:c>
      <x:c r="C21" s="14" t="n">
        <x:v>6.27</x:v>
      </x:c>
      <x:c r="D21" s="14" t="n">
        <x:v>578</x:v>
      </x:c>
      <x:c r="E21" s="12" t="n">
        <x:f>B21/$B$5</x:f>
        <x:v>0.046944109368717325</x:v>
      </x:c>
      <x:c r="F21" s="12" t="n">
        <x:f>C21/$B$6</x:f>
        <x:v>0.016954652389064653</x:v>
      </x:c>
      <x:c r="G21" s="12" t="n">
        <x:f>D21/$B$7</x:f>
        <x:v>0.10312221231043711</x:v>
      </x:c>
      <x:c r="H21" s="12" t="n">
        <x:f>AVERAGE(E21:G21)</x:f>
        <x:v>0.05567365802273969</x:v>
      </x:c>
      <x:c r="I21" s="16" t="n">
        <x:f>100*($B$9-H21)/($B$9-$B$8)</x:f>
        <x:v>92.56975530151593</x:v>
      </x:c>
      <x:c r="J21" t="str">
        <x:v>https://ourworldindata.org/environmental-impacts-of-food</x:v>
      </x:c>
    </x:row>
    <x:row r="22">
      <x:c r="A22" t="str">
        <x:v>Rice</x:v>
      </x:c>
      <x:c r="B22" s="14" t="n">
        <x:v>4.45</x:v>
      </x:c>
      <x:c r="C22" s="14" t="n">
        <x:v>2.8</x:v>
      </x:c>
      <x:c r="D22" s="14" t="n">
        <x:v>2248</x:v>
      </x:c>
      <x:c r="E22" s="12" t="n">
        <x:f>B22/$B$5</x:f>
        <x:v>0.044732609569762764</x:v>
      </x:c>
      <x:c r="F22" s="12" t="n">
        <x:f>C22/$B$6</x:f>
        <x:v>0.007571455612341472</x:v>
      </x:c>
      <x:c r="G22" s="12" t="n">
        <x:f>D22/$B$7</x:f>
        <x:v>0.40107047279214986</x:v>
      </x:c>
      <x:c r="H22" s="12" t="n">
        <x:f>AVERAGE(E22:G22)</x:f>
        <x:v>0.15112484599141804</x:v>
      </x:c>
      <x:c r="I22" s="16" t="n">
        <x:f>100*($B$9-H22)/($B$9-$B$8)</x:f>
        <x:v>79.14105140846908</x:v>
      </x:c>
      <x:c r="J22" t="str">
        <x:v>https://ourworldindata.org/environmental-impacts-of-food</x:v>
      </x:c>
    </x:row>
    <x:row r="23">
      <x:c r="A23" t="str">
        <x:v>Groundnuts</x:v>
      </x:c>
      <x:c r="B23" s="14" t="n">
        <x:v>3.23</x:v>
      </x:c>
      <x:c r="C23" s="14" t="n">
        <x:v>9.11</x:v>
      </x:c>
      <x:c r="D23" s="14" t="n">
        <x:v>1852</x:v>
      </x:c>
      <x:c r="E23" s="12" t="n">
        <x:f>B23/$B$5</x:f>
        <x:v>0.032468837957378364</x:v>
      </x:c>
      <x:c r="F23" s="12" t="n">
        <x:f>C23/$B$6</x:f>
        <x:v>0.024634271653011006</x:v>
      </x:c>
      <x:c r="G23" s="12" t="n">
        <x:f>D23/$B$7</x:f>
        <x:v>0.3304192685102587</x:v>
      </x:c>
      <x:c r="H23" s="12" t="n">
        <x:f>AVERAGE(E23:G23)</x:f>
        <x:v>0.12917412604021603</x:v>
      </x:c>
      <x:c r="I23" s="16" t="n">
        <x:f>100*($B$9-H23)/($B$9-$B$8)</x:f>
        <x:v>82.22922374803822</x:v>
      </x:c>
      <x:c r="J23" t="str">
        <x:v>https://ourworldindata.org/environmental-impacts-of-food</x:v>
      </x:c>
    </x:row>
    <x:row r="24">
      <x:c r="A24" t="str">
        <x:v>Cane Sugar</x:v>
      </x:c>
      <x:c r="B24" s="14" t="n">
        <x:v>3.2</x:v>
      </x:c>
      <x:c r="C24" s="14" t="n">
        <x:v>2.04</x:v>
      </x:c>
      <x:c r="D24" s="14" t="n">
        <x:v>620</x:v>
      </x:c>
      <x:c r="E24" s="12" t="n">
        <x:f>B24/$B$5</x:f>
        <x:v>0.032167269802975476</x:v>
      </x:c>
      <x:c r="F24" s="12" t="n">
        <x:f>C24/$B$6</x:f>
        <x:v>0.005516346231848788</x:v>
      </x:c>
      <x:c r="G24" s="12" t="n">
        <x:f>D24/$B$7</x:f>
        <x:v>0.11061552185548618</x:v>
      </x:c>
      <x:c r="H24" s="12" t="n">
        <x:f>AVERAGE(E24:G24)</x:f>
        <x:v>0.04943304596343681</x:v>
      </x:c>
      <x:c r="I24" s="16" t="n">
        <x:f>100*($B$9-H24)/($B$9-$B$8)</x:f>
        <x:v>93.44772584582445</x:v>
      </x:c>
      <x:c r="J24" t="str">
        <x:v>https://ourworldindata.org/environmental-impacts-of-food</x:v>
      </x:c>
    </x:row>
    <x:row r="25">
      <x:c r="A25" t="str">
        <x:v>Tofu</x:v>
      </x:c>
      <x:c r="B25" s="14" t="n">
        <x:v>3.16</x:v>
      </x:c>
      <x:c r="C25" s="14" t="n">
        <x:v>3.52</x:v>
      </x:c>
      <x:c r="D25" s="14" t="n">
        <x:v>149</x:v>
      </x:c>
      <x:c r="E25" s="12" t="n">
        <x:f>B25/$B$5</x:f>
        <x:v>0.03176517893043828</x:v>
      </x:c>
      <x:c r="F25" s="12" t="n">
        <x:f>C25/$B$6</x:f>
        <x:v>0.00951840134122928</x:v>
      </x:c>
      <x:c r="G25" s="12" t="n">
        <x:f>D25/$B$7</x:f>
        <x:v>0.026583407671721678</x:v>
      </x:c>
      <x:c r="H25" s="12" t="n">
        <x:f>AVERAGE(E25:G25)</x:f>
        <x:v>0.02262232931446308</x:v>
      </x:c>
      <x:c r="I25" s="16" t="n">
        <x:f>100*($B$9-H25)/($B$9-$B$8)</x:f>
        <x:v>97.21963463712825</x:v>
      </x:c>
      <x:c r="J25" t="str">
        <x:v>https://ourworldindata.org/environmental-impacts-of-food</x:v>
      </x:c>
    </x:row>
    <x:row r="26">
      <x:c r="A26" t="str">
        <x:v>Milk</x:v>
      </x:c>
      <x:c r="B26" s="14" t="n">
        <x:v>3.15</x:v>
      </x:c>
      <x:c r="C26" s="14" t="n">
        <x:v>8.95</x:v>
      </x:c>
      <x:c r="D26" s="14" t="n">
        <x:v>628</x:v>
      </x:c>
      <x:c r="E26" s="12" t="n">
        <x:f>B26/$B$5</x:f>
        <x:v>0.03166465621230398</x:v>
      </x:c>
      <x:c r="F26" s="12" t="n">
        <x:f>C26/$B$6</x:f>
        <x:v>0.02420161704659149</x:v>
      </x:c>
      <x:c r="G26" s="12" t="n">
        <x:f>D26/$B$7</x:f>
        <x:v>0.11204281891168599</x:v>
      </x:c>
      <x:c r="H26" s="12" t="n">
        <x:f>AVERAGE(E26:G26)</x:f>
        <x:v>0.05596969739019383</x:v>
      </x:c>
      <x:c r="I26" s="16" t="n">
        <x:f>100*($B$9-H26)/($B$9-$B$8)</x:f>
        <x:v>92.52810652698697</x:v>
      </x:c>
      <x:c r="J26" t="str">
        <x:v>https://ourworldindata.org/environmental-impacts-of-food</x:v>
      </x:c>
    </x:row>
    <x:row r="27">
      <x:c r="A27" t="str">
        <x:v>Oatmeal</x:v>
      </x:c>
      <x:c r="B27" s="14" t="n">
        <x:v>2.48</x:v>
      </x:c>
      <x:c r="C27" s="14" t="n">
        <x:v>7.6</x:v>
      </x:c>
      <x:c r="D27" s="14" t="n">
        <x:v>482</x:v>
      </x:c>
      <x:c r="E27" s="12" t="n">
        <x:f>B27/$B$5</x:f>
        <x:v>0.02492963409730599</x:v>
      </x:c>
      <x:c r="F27" s="12" t="n">
        <x:f>C27/$B$6</x:f>
        <x:v>0.020551093804926854</x:v>
      </x:c>
      <x:c r="G27" s="12" t="n">
        <x:f>D27/$B$7</x:f>
        <x:v>0.08599464763603926</x:v>
      </x:c>
      <x:c r="H27" s="12" t="n">
        <x:f>AVERAGE(E27:G27)</x:f>
        <x:v>0.04382512517942403</x:v>
      </x:c>
      <x:c r="I27" s="16" t="n">
        <x:f>100*($B$9-H27)/($B$9-$B$8)</x:f>
        <x:v>94.23668520051453</x:v>
      </x:c>
      <x:c r="J27" t="str">
        <x:v>https://ourworldindata.org/environmental-impacts-of-food</x:v>
      </x:c>
    </x:row>
    <x:row r="28">
      <x:c r="A28" t="str">
        <x:v>Tomatoes</x:v>
      </x:c>
      <x:c r="B28" s="14" t="n">
        <x:v>2.09</x:v>
      </x:c>
      <x:c r="C28" s="14" t="n">
        <x:v>0.8</x:v>
      </x:c>
      <x:c r="D28" s="14" t="n">
        <x:v>370</x:v>
      </x:c>
      <x:c r="E28" s="12" t="n">
        <x:f>B28/$B$5</x:f>
        <x:v>0.021009248090068353</x:v>
      </x:c>
      <x:c r="F28" s="12" t="n">
        <x:f>C28/$B$6</x:f>
        <x:v>0.0021632730320975636</x:v>
      </x:c>
      <x:c r="G28" s="12" t="n">
        <x:f>D28/$B$7</x:f>
        <x:v>0.06601248884924175</x:v>
      </x:c>
      <x:c r="H28" s="12" t="n">
        <x:f>AVERAGE(E28:G28)</x:f>
        <x:v>0.029728336657135892</x:v>
      </x:c>
      <x:c r="I28" s="16" t="n">
        <x:f>100*($B$9-H28)/($B$9-$B$8)</x:f>
        <x:v>96.21991456556788</x:v>
      </x:c>
      <x:c r="J28" t="str">
        <x:v>https://ourworldindata.org/environmental-impacts-of-food</x:v>
      </x:c>
    </x:row>
    <x:row r="29">
      <x:c r="A29" t="str">
        <x:v>Beet Sugar</x:v>
      </x:c>
      <x:c r="B29" s="14" t="n">
        <x:v>1.81</x:v>
      </x:c>
      <x:c r="C29" s="14" t="n">
        <x:v>1.83</x:v>
      </x:c>
      <x:c r="D29" s="14" t="n">
        <x:v>218</x:v>
      </x:c>
      <x:c r="E29" s="12" t="n">
        <x:f>B29/$B$5</x:f>
        <x:v>0.018194611982308</x:v>
      </x:c>
      <x:c r="F29" s="12" t="n">
        <x:f>C29/$B$6</x:f>
        <x:v>0.004948487060923177</x:v>
      </x:c>
      <x:c r="G29" s="12" t="n">
        <x:f>D29/$B$7</x:f>
        <x:v>0.03889384478144514</x:v>
      </x:c>
      <x:c r="H29" s="12" t="n">
        <x:f>AVERAGE(E29:G29)</x:f>
        <x:v>0.020678981274892108</x:v>
      </x:c>
      <x:c r="I29" s="16" t="n">
        <x:f>100*($B$9-H29)/($B$9-$B$8)</x:f>
        <x:v>97.49303768155234</x:v>
      </x:c>
      <x:c r="J29" t="str">
        <x:v>https://ourworldindata.org/environmental-impacts-of-food</x:v>
      </x:c>
    </x:row>
    <x:row r="30">
      <x:c r="A30" t="str">
        <x:v>Wine</x:v>
      </x:c>
      <x:c r="B30" s="14" t="n">
        <x:v>1.79</x:v>
      </x:c>
      <x:c r="C30" s="14" t="n">
        <x:v>1.78</x:v>
      </x:c>
      <x:c r="D30" s="14" t="n">
        <x:v>79</x:v>
      </x:c>
      <x:c r="E30" s="12" t="n">
        <x:f>B30/$B$5</x:f>
        <x:v>0.017993566546039404</x:v>
      </x:c>
      <x:c r="F30" s="12" t="n">
        <x:f>C30/$B$6</x:f>
        <x:v>0.004813282496417079</x:v>
      </x:c>
      <x:c r="G30" s="12" t="n">
        <x:f>D30/$B$7</x:f>
        <x:v>0.014094558429973238</x:v>
      </x:c>
      <x:c r="H30" s="12" t="n">
        <x:f>AVERAGE(E30:G30)</x:f>
        <x:v>0.012300469157476573</x:v>
      </x:c>
      <x:c r="I30" s="16" t="n">
        <x:f>100*($B$9-H30)/($B$9-$B$8)</x:f>
        <x:v>98.6717821339105</x:v>
      </x:c>
      <x:c r="J30" t="str">
        <x:v>https://ourworldindata.org/environmental-impacts-of-food</x:v>
      </x:c>
    </x:row>
    <x:row r="31">
      <x:c r="A31" t="str">
        <x:v>Other Pulses</x:v>
      </x:c>
      <x:c r="B31" s="14" t="n">
        <x:v>1.79</x:v>
      </x:c>
      <x:c r="C31" s="14" t="n">
        <x:v>15.57</x:v>
      </x:c>
      <x:c r="D31" s="14" t="n">
        <x:v>436</x:v>
      </x:c>
      <x:c r="E31" s="12" t="n">
        <x:f>B31/$B$5</x:f>
        <x:v>0.017993566546039404</x:v>
      </x:c>
      <x:c r="F31" s="12" t="n">
        <x:f>C31/$B$6</x:f>
        <x:v>0.042102701387198835</x:v>
      </x:c>
      <x:c r="G31" s="12" t="n">
        <x:f>D31/$B$7</x:f>
        <x:v>0.07778768956289028</x:v>
      </x:c>
      <x:c r="H31" s="12" t="n">
        <x:f>AVERAGE(E31:G31)</x:f>
        <x:v>0.04596131916537618</x:v>
      </x:c>
      <x:c r="I31" s="16" t="n">
        <x:f>100*($B$9-H31)/($B$9-$B$8)</x:f>
        <x:v>93.93615131397064</x:v>
      </x:c>
      <x:c r="J31" t="str">
        <x:v>https://ourworldindata.org/environmental-impacts-of-food</x:v>
      </x:c>
    </x:row>
    <x:row r="32">
      <x:c r="A32" t="str">
        <x:v>Maize</x:v>
      </x:c>
      <x:c r="B32" s="14" t="n">
        <x:v>1.7</x:v>
      </x:c>
      <x:c r="C32" s="14" t="n">
        <x:v>2.94</x:v>
      </x:c>
      <x:c r="D32" s="14" t="n">
        <x:v>216</x:v>
      </x:c>
      <x:c r="E32" s="12" t="n">
        <x:f>B32/$B$5</x:f>
        <x:v>0.017088862082830718</x:v>
      </x:c>
      <x:c r="F32" s="12" t="n">
        <x:f>C32/$B$6</x:f>
        <x:v>0.007950028392958546</x:v>
      </x:c>
      <x:c r="G32" s="12" t="n">
        <x:f>D32/$B$7</x:f>
        <x:v>0.03853702051739518</x:v>
      </x:c>
      <x:c r="H32" s="12" t="n">
        <x:f>AVERAGE(E32:G32)</x:f>
        <x:v>0.021191970331061478</x:v>
      </x:c>
      <x:c r="I32" s="16" t="n">
        <x:f>100*($B$9-H32)/($B$9-$B$8)</x:f>
        <x:v>97.42086699114738</x:v>
      </x:c>
      <x:c r="J32" t="str">
        <x:v>https://ourworldindata.org/environmental-impacts-of-food</x:v>
      </x:c>
    </x:row>
    <x:row r="33">
      <x:c r="A33" t="str">
        <x:v>Wheat &amp; Rye</x:v>
      </x:c>
      <x:c r="B33" s="14" t="n">
        <x:v>1.57</x:v>
      </x:c>
      <x:c r="C33" s="14" t="n">
        <x:v>3.85</x:v>
      </x:c>
      <x:c r="D33" s="14" t="n">
        <x:v>648</x:v>
      </x:c>
      <x:c r="E33" s="12" t="n">
        <x:f>B33/$B$5</x:f>
        <x:v>0.015782066747084843</x:v>
      </x:c>
      <x:c r="F33" s="12" t="n">
        <x:f>C33/$B$6</x:f>
        <x:v>0.010410751466969525</x:v>
      </x:c>
      <x:c r="G33" s="12" t="n">
        <x:f>D33/$B$7</x:f>
        <x:v>0.11561106155218555</x:v>
      </x:c>
      <x:c r="H33" s="12" t="n">
        <x:f>AVERAGE(E33:G33)</x:f>
        <x:v>0.04726795992207997</x:v>
      </x:c>
      <x:c r="I33" s="16" t="n">
        <x:f>100*($B$9-H33)/($B$9-$B$8)</x:f>
        <x:v>93.75232445764989</x:v>
      </x:c>
      <x:c r="J33" t="str">
        <x:v>https://ourworldindata.org/environmental-impacts-of-food</x:v>
      </x:c>
    </x:row>
    <x:row r="34">
      <x:c r="A34" t="str">
        <x:v>Berries &amp; Grapes</x:v>
      </x:c>
      <x:c r="B34" s="14" t="n">
        <x:v>1.53</x:v>
      </x:c>
      <x:c r="C34" s="14" t="n">
        <x:v>2.41</x:v>
      </x:c>
      <x:c r="D34" s="14" t="n">
        <x:v>420</x:v>
      </x:c>
      <x:c r="E34" s="12" t="n">
        <x:f>B34/$B$5</x:f>
        <x:v>0.015379975874547647</x:v>
      </x:c>
      <x:c r="F34" s="12" t="n">
        <x:f>C34/$B$6</x:f>
        <x:v>0.006516860009193911</x:v>
      </x:c>
      <x:c r="G34" s="12" t="n">
        <x:f>D34/$B$7</x:f>
        <x:v>0.07493309545049064</x:v>
      </x:c>
      <x:c r="H34" s="12" t="n">
        <x:f>AVERAGE(E34:G34)</x:f>
        <x:v>0.032276643778077395</x:v>
      </x:c>
      <x:c r="I34" s="16" t="n">
        <x:f>100*($B$9-H34)/($B$9-$B$8)</x:f>
        <x:v>95.86140187982849</x:v>
      </x:c>
      <x:c r="J34" t="str">
        <x:v>https://ourworldindata.org/environmental-impacts-of-food</x:v>
      </x:c>
    </x:row>
    <x:row r="35">
      <x:c r="A35" t="str">
        <x:v>Cassava</x:v>
      </x:c>
      <x:c r="B35" s="14" t="n">
        <x:v>1.32</x:v>
      </x:c>
      <x:c r="C35" s="14" t="n">
        <x:v>1.81</x:v>
      </x:c>
      <x:c r="D35" s="14" t="n">
        <x:v>0</x:v>
      </x:c>
      <x:c r="E35" s="12" t="n">
        <x:f>B35/$B$5</x:f>
        <x:v>0.013268998793727383</x:v>
      </x:c>
      <x:c r="F35" s="12" t="n">
        <x:f>C35/$B$6</x:f>
        <x:v>0.004894405235120738</x:v>
      </x:c>
      <x:c r="G35" s="12" t="n">
        <x:f>D35/$B$7</x:f>
        <x:v>0</x:v>
      </x:c>
      <x:c r="H35" s="12" t="n">
        <x:f>AVERAGE(E35:G35)</x:f>
        <x:v>0.00605446800961604</x:v>
      </x:c>
      <x:c r="I35" s="16" t="n">
        <x:f>100*($B$9-H35)/($B$9-$B$8)</x:f>
        <x:v>99.55051085081001</x:v>
      </x:c>
      <x:c r="J35" t="str">
        <x:v>https://ourworldindata.org/environmental-impacts-of-food</x:v>
      </x:c>
    </x:row>
    <x:row r="36">
      <x:c r="A36" t="str">
        <x:v>Barley</x:v>
      </x:c>
      <x:c r="B36" s="14" t="n">
        <x:v>1.18</x:v>
      </x:c>
      <x:c r="C36" s="14" t="n">
        <x:v>1.11</x:v>
      </x:c>
      <x:c r="D36" s="14" t="n">
        <x:v>17</x:v>
      </x:c>
      <x:c r="E36" s="12" t="n">
        <x:f>B36/$B$5</x:f>
        <x:v>0.011861680739847204</x:v>
      </x:c>
      <x:c r="F36" s="12" t="n">
        <x:f>C36/$B$6</x:f>
        <x:v>0.0030015413320353696</x:v>
      </x:c>
      <x:c r="G36" s="12" t="n">
        <x:f>D36/$B$7</x:f>
        <x:v>0.0030330062444246207</x:v>
      </x:c>
      <x:c r="H36" s="12" t="n">
        <x:f>AVERAGE(E36:G36)</x:f>
        <x:v>0.005965409438769065</x:v>
      </x:c>
      <x:c r="I36" s="16" t="n">
        <x:f>100*($B$9-H36)/($B$9-$B$8)</x:f>
        <x:v>99.56304019908208</x:v>
      </x:c>
      <x:c r="J36" t="str">
        <x:v>https://ourworldindata.org/environmental-impacts-of-food</x:v>
      </x:c>
    </x:row>
    <x:row r="37">
      <x:c r="A37" t="str">
        <x:v>Other Fruit</x:v>
      </x:c>
      <x:c r="B37" s="14" t="n">
        <x:v>1.05</x:v>
      </x:c>
      <x:c r="C37" s="14" t="n">
        <x:v>0.89</x:v>
      </x:c>
      <x:c r="D37" s="14" t="n">
        <x:v>154</x:v>
      </x:c>
      <x:c r="E37" s="12" t="n">
        <x:f>B37/$B$5</x:f>
        <x:v>0.010554885404101327</x:v>
      </x:c>
      <x:c r="F37" s="12" t="n">
        <x:f>C37/$B$6</x:f>
        <x:v>0.0024066412482085394</x:v>
      </x:c>
      <x:c r="G37" s="12" t="n">
        <x:f>D37/$B$7</x:f>
        <x:v>0.027475468331846567</x:v>
      </x:c>
      <x:c r="H37" s="12" t="n">
        <x:f>AVERAGE(E37:G37)</x:f>
        <x:v>0.013478998328052145</x:v>
      </x:c>
      <x:c r="I37" s="16" t="n">
        <x:f>100*($B$9-H37)/($B$9-$B$8)</x:f>
        <x:v>98.50597886212546</x:v>
      </x:c>
      <x:c r="J37" t="str">
        <x:v>https://ourworldindata.org/environmental-impacts-of-food</x:v>
      </x:c>
    </x:row>
    <x:row r="38">
      <x:c r="A38" t="str">
        <x:v>Soy milk</x:v>
      </x:c>
      <x:c r="B38" s="14" t="n">
        <x:v>0.98</x:v>
      </x:c>
      <x:c r="C38" s="14" t="n">
        <x:v>0.66</x:v>
      </x:c>
      <x:c r="D38" s="14" t="n">
        <x:v>28</x:v>
      </x:c>
      <x:c r="E38" s="12" t="n">
        <x:f>B38/$B$5</x:f>
        <x:v>0.009851226377161237</x:v>
      </x:c>
      <x:c r="F38" s="12" t="n">
        <x:f>C38/$B$6</x:f>
        <x:v>0.00178470025148049</x:v>
      </x:c>
      <x:c r="G38" s="12" t="n">
        <x:f>D38/$B$7</x:f>
        <x:v>0.0049955396966993755</x:v>
      </x:c>
      <x:c r="H38" s="12" t="n">
        <x:f>AVERAGE(E38:G38)</x:f>
        <x:v>0.005543822108447034</x:v>
      </x:c>
      <x:c r="I38" s="16" t="n">
        <x:f>100*($B$9-H38)/($B$9-$B$8)</x:f>
        <x:v>99.62235189068524</x:v>
      </x:c>
      <x:c r="J38" t="str">
        <x:v>https://ourworldindata.org/environmental-impacts-of-food</x:v>
      </x:c>
    </x:row>
    <x:row r="39">
      <x:c r="A39" t="str">
        <x:v>Peas</x:v>
      </x:c>
      <x:c r="B39" s="14" t="n">
        <x:v>0.98</x:v>
      </x:c>
      <x:c r="C39" s="14" t="n">
        <x:v>7.46</x:v>
      </x:c>
      <x:c r="D39" s="14" t="n">
        <x:v>397</x:v>
      </x:c>
      <x:c r="E39" s="12" t="n">
        <x:f>B39/$B$5</x:f>
        <x:v>0.009851226377161237</x:v>
      </x:c>
      <x:c r="F39" s="12" t="n">
        <x:f>C39/$B$6</x:f>
        <x:v>0.020172521024309782</x:v>
      </x:c>
      <x:c r="G39" s="12" t="n">
        <x:f>D39/$B$7</x:f>
        <x:v>0.07082961641391615</x:v>
      </x:c>
      <x:c r="H39" s="12" t="n">
        <x:f>AVERAGE(E39:G39)</x:f>
        <x:v>0.033617787938462394</x:v>
      </x:c>
      <x:c r="I39" s="16" t="n">
        <x:f>100*($B$9-H39)/($B$9-$B$8)</x:f>
        <x:v>95.67272085666922</x:v>
      </x:c>
      <x:c r="J39" t="str">
        <x:v>https://ourworldindata.org/environmental-impacts-of-food</x:v>
      </x:c>
    </x:row>
    <x:row r="40">
      <x:c r="A40" t="str">
        <x:v>Bananas</x:v>
      </x:c>
      <x:c r="B40" s="14" t="n">
        <x:v>0.86</x:v>
      </x:c>
      <x:c r="C40" s="14" t="n">
        <x:v>1.93</x:v>
      </x:c>
      <x:c r="D40" s="14" t="n">
        <x:v>115</x:v>
      </x:c>
      <x:c r="E40" s="12" t="n">
        <x:f>B40/$B$5</x:f>
        <x:v>0.008644953759549658</x:v>
      </x:c>
      <x:c r="F40" s="12" t="n">
        <x:f>C40/$B$6</x:f>
        <x:v>0.005218896189935372</x:v>
      </x:c>
      <x:c r="G40" s="12" t="n">
        <x:f>D40/$B$7</x:f>
        <x:v>0.020517395182872437</x:v>
      </x:c>
      <x:c r="H40" s="12" t="n">
        <x:f>AVERAGE(E40:G40)</x:f>
        <x:v>0.011460415044119154</x:v>
      </x:c>
      <x:c r="I40" s="16" t="n">
        <x:f>100*($B$9-H40)/($B$9-$B$8)</x:f>
        <x:v>98.7899664979031</x:v>
      </x:c>
      <x:c r="J40" t="str">
        <x:v>https://ourworldindata.org/environmental-impacts-of-food</x:v>
      </x:c>
    </x:row>
    <x:row r="41">
      <x:c r="A41" t="str">
        <x:v>Other Vegetables</x:v>
      </x:c>
      <x:c r="B41" s="14" t="n">
        <x:v>0.53</x:v>
      </x:c>
      <x:c r="C41" s="14" t="n">
        <x:v>0.38</x:v>
      </x:c>
      <x:c r="D41" s="14" t="n">
        <x:v>103</x:v>
      </x:c>
      <x:c r="E41" s="12" t="n">
        <x:f>B41/$B$5</x:f>
        <x:v>0.005327704061117813</x:v>
      </x:c>
      <x:c r="F41" s="12" t="n">
        <x:f>C41/$B$6</x:f>
        <x:v>0.0010275546902463427</x:v>
      </x:c>
      <x:c r="G41" s="12" t="n">
        <x:f>D41/$B$7</x:f>
        <x:v>0.0183764495985727</x:v>
      </x:c>
      <x:c r="H41" s="12" t="n">
        <x:f>AVERAGE(E41:G41)</x:f>
        <x:v>0.008243902783312286</x:v>
      </x:c>
      <x:c r="I41" s="16" t="n">
        <x:f>100*($B$9-H41)/($B$9-$B$8)</x:f>
        <x:v>99.24248669841545</x:v>
      </x:c>
      <x:c r="J41" t="str">
        <x:v>https://ourworldindata.org/environmental-impacts-of-food</x:v>
      </x:c>
    </x:row>
    <x:row r="42">
      <x:c r="A42" t="str">
        <x:v>Brassicas</x:v>
      </x:c>
      <x:c r="B42" s="14" t="n">
        <x:v>0.51</x:v>
      </x:c>
      <x:c r="C42" s="14" t="n">
        <x:v>0.55</x:v>
      </x:c>
      <x:c r="D42" s="14" t="n">
        <x:v>119</x:v>
      </x:c>
      <x:c r="E42" s="12" t="n">
        <x:f>B42/$B$5</x:f>
        <x:v>0.005126658624849216</x:v>
      </x:c>
      <x:c r="F42" s="12" t="n">
        <x:f>C42/$B$6</x:f>
        <x:v>0.0014872502095670751</x:v>
      </x:c>
      <x:c r="G42" s="12" t="n">
        <x:f>D42/$B$7</x:f>
        <x:v>0.021231043710972345</x:v>
      </x:c>
      <x:c r="H42" s="12" t="n">
        <x:f>AVERAGE(E42:G42)</x:f>
        <x:v>0.009281650848462879</x:v>
      </x:c>
      <x:c r="I42" s="16" t="n">
        <x:f>100*($B$9-H42)/($B$9-$B$8)</x:f>
        <x:v>99.09648944286465</x:v>
      </x:c>
      <x:c r="J42" t="str">
        <x:v>https://ourworldindata.org/environmental-impacts-of-food</x:v>
      </x:c>
    </x:row>
    <x:row r="43">
      <x:c r="A43" t="str">
        <x:v>Onions &amp; Leeks</x:v>
      </x:c>
      <x:c r="B43" s="14" t="n">
        <x:v>0.5</x:v>
      </x:c>
      <x:c r="C43" s="14" t="n">
        <x:v>0.39</x:v>
      </x:c>
      <x:c r="D43" s="14" t="n">
        <x:v>14</x:v>
      </x:c>
      <x:c r="E43" s="12" t="n">
        <x:f>B43/$B$5</x:f>
        <x:v>0.005026135906714918</x:v>
      </x:c>
      <x:c r="F43" s="12" t="n">
        <x:f>C43/$B$6</x:f>
        <x:v>0.0010545956031475622</x:v>
      </x:c>
      <x:c r="G43" s="12" t="n">
        <x:f>D43/$B$7</x:f>
        <x:v>0.0024977698483496878</x:v>
      </x:c>
      <x:c r="H43" s="12" t="n">
        <x:f>AVERAGE(E43:G43)</x:f>
        <x:v>0.002859500452737389</x:v>
      </x:c>
      <x:c r="I43" s="16" t="n">
        <x:f>100*($B$9-H43)/($B$9-$B$8)</x:f>
        <x:v>100</x:v>
      </x:c>
      <x:c r="J43" t="str">
        <x:v>https://ourworldindata.org/environmental-impacts-of-food</x:v>
      </x:c>
    </x:row>
    <x:row r="44">
      <x:c r="A44" t="str">
        <x:v>Potatoes</x:v>
      </x:c>
      <x:c r="B44" s="14" t="n">
        <x:v>0.46</x:v>
      </x:c>
      <x:c r="C44" s="14" t="n">
        <x:v>0.88</x:v>
      </x:c>
      <x:c r="D44" s="14" t="n">
        <x:v>59</x:v>
      </x:c>
      <x:c r="E44" s="12" t="n">
        <x:f>B44/$B$5</x:f>
        <x:v>0.004624045034177724</x:v>
      </x:c>
      <x:c r="F44" s="12" t="n">
        <x:f>C44/$B$6</x:f>
        <x:v>0.00237960033530732</x:v>
      </x:c>
      <x:c r="G44" s="12" t="n">
        <x:f>D44/$B$7</x:f>
        <x:v>0.010526315789473684</x:v>
      </x:c>
      <x:c r="H44" s="12" t="n">
        <x:f>AVERAGE(E44:G44)</x:f>
        <x:v>0.005843320386319576</x:v>
      </x:c>
      <x:c r="I44" s="16" t="n">
        <x:f>100*($B$9-H44)/($B$9-$B$8)</x:f>
        <x:v>99.58021649378115</x:v>
      </x:c>
      <x:c r="J44" t="str">
        <x:v>https://ourworldindata.org/environmental-impacts-of-food</x:v>
      </x:c>
    </x:row>
    <x:row r="45">
      <x:c r="A45" t="str">
        <x:v>Root Vegetables</x:v>
      </x:c>
      <x:c r="B45" s="14" t="n">
        <x:v>0.43</x:v>
      </x:c>
      <x:c r="C45" s="14" t="n">
        <x:v>0.33</x:v>
      </x:c>
      <x:c r="D45" s="14" t="n">
        <x:v>28</x:v>
      </x:c>
      <x:c r="E45" s="12" t="n">
        <x:f>B45/$B$5</x:f>
        <x:v>0.004322476879774829</x:v>
      </x:c>
      <x:c r="F45" s="12" t="n">
        <x:f>C45/$B$6</x:f>
        <x:v>0.000892350125740245</x:v>
      </x:c>
      <x:c r="G45" s="12" t="n">
        <x:f>D45/$B$7</x:f>
        <x:v>0.0049955396966993755</x:v>
      </x:c>
      <x:c r="H45" s="12" t="n">
        <x:f>AVERAGE(E45:G45)</x:f>
        <x:v>0.003403455567404816</x:v>
      </x:c>
      <x:c r="I45" s="16" t="n">
        <x:f>100*($B$9-H45)/($B$9-$B$8)</x:f>
        <x:v>99.9234727998527</x:v>
      </x:c>
      <x:c r="J45" t="str">
        <x:v>https://ourworldindata.org/environmental-impacts-of-food</x:v>
      </x:c>
    </x:row>
    <x:row r="46">
      <x:c r="A46" t="str">
        <x:v>Nuts</x:v>
      </x:c>
      <x:c r="B46" s="14" t="n">
        <x:v>0.43</x:v>
      </x:c>
      <x:c r="C46" s="14" t="n">
        <x:v>12.96</x:v>
      </x:c>
      <x:c r="D46" s="14" t="n">
        <x:v>4134</x:v>
      </x:c>
      <x:c r="E46" s="12" t="n">
        <x:f>B46/$B$5</x:f>
        <x:v>0.004322476879774829</x:v>
      </x:c>
      <x:c r="F46" s="12" t="n">
        <x:f>C46/$B$6</x:f>
        <x:v>0.035045023119980534</x:v>
      </x:c>
      <x:c r="G46" s="12" t="n">
        <x:f>D46/$B$7</x:f>
        <x:v>0.7375557537912578</x:v>
      </x:c>
      <x:c r="H46" s="12" t="n">
        <x:f>AVERAGE(E46:G46)</x:f>
        <x:v>0.2589744179303377</x:v>
      </x:c>
      <x:c r="I46" s="16" t="n">
        <x:f>100*($B$9-H46)/($B$9-$B$8)</x:f>
        <x:v>63.96806092630924</x:v>
      </x:c>
      <x:c r="J46" t="str">
        <x:v>https://ourworldindata.org/environmental-impacts-of-food</x:v>
      </x:c>
    </x:row>
    <x:row r="47">
      <x:c r="A47" t="str">
        <x:v>Apples</x:v>
      </x:c>
      <x:c r="B47" s="14" t="n">
        <x:v>0.43</x:v>
      </x:c>
      <x:c r="C47" s="14" t="n">
        <x:v>0.63</x:v>
      </x:c>
      <x:c r="D47" s="14" t="n">
        <x:v>180</x:v>
      </x:c>
      <x:c r="E47" s="12" t="n">
        <x:f>B47/$B$5</x:f>
        <x:v>0.004322476879774829</x:v>
      </x:c>
      <x:c r="F47" s="12" t="n">
        <x:f>C47/$B$6</x:f>
        <x:v>0.0017035775127768314</x:v>
      </x:c>
      <x:c r="G47" s="12" t="n">
        <x:f>D47/$B$7</x:f>
        <x:v>0.032114183764495985</x:v>
      </x:c>
      <x:c r="H47" s="12" t="n">
        <x:f>AVERAGE(E47:G47)</x:f>
        <x:v>0.012713412719015882</x:v>
      </x:c>
      <x:c r="I47" s="16" t="n">
        <x:f>100*($B$9-H47)/($B$9-$B$8)</x:f>
        <x:v>98.61368650482028</x:v>
      </x:c>
      <x:c r="J47" t="str">
        <x:v>https://ourworldindata.org/environmental-impacts-of-food</x:v>
      </x:c>
    </x:row>
    <x:row r="48">
      <x:c r="A48" t="str">
        <x:v>Citrus Fruit</x:v>
      </x:c>
      <x:c r="B48" s="14" t="n">
        <x:v>0.39</x:v>
      </x:c>
      <x:c r="C48" s="14" t="n">
        <x:v>0.86</x:v>
      </x:c>
      <x:c r="D48" s="14" t="n">
        <x:v>83</x:v>
      </x:c>
      <x:c r="E48" s="12" t="n">
        <x:f>B48/$B$5</x:f>
        <x:v>0.0039203860072376355</x:v>
      </x:c>
      <x:c r="F48" s="12" t="n">
        <x:f>C48/$B$6</x:f>
        <x:v>0.002325518509504881</x:v>
      </x:c>
      <x:c r="G48" s="12" t="n">
        <x:f>D48/$B$7</x:f>
        <x:v>0.01480820695807315</x:v>
      </x:c>
      <x:c r="H48" s="12" t="n">
        <x:f>AVERAGE(E48:G48)</x:f>
        <x:v>0.007018037158271889</x:v>
      </x:c>
      <x:c r="I48" s="16" t="n">
        <x:f>100*($B$9-H48)/($B$9-$B$8)</x:f>
        <x:v>99.41494957542788</x:v>
      </x:c>
      <x:c r="J48" t="str">
        <x:v>https://ourworldindata.org/environmental-impacts-of-food</x:v>
      </x:c>
    </x:row>
  </x:sheetData>
  <x:mergeCells>
    <x:mergeCell ref="A1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40" hidden="0" customWidth="1"/>
    <x:col min="5" max="5" width="16" hidden="0" customWidth="1"/>
    <x:col min="6" max="6" width="10" hidden="0" customWidth="1"/>
    <x:col min="7" max="7" width="11" hidden="0" customWidth="1"/>
    <x:col min="8" max="8" width="12" hidden="0" customWidth="1"/>
    <x:col min="9" max="9" width="12" hidden="0" customWidth="1"/>
    <x:col min="10" max="10" width="12" hidden="0" customWidth="1"/>
    <x:col min="11" max="11" width="15" hidden="0" customWidth="1"/>
    <x:col min="12" max="12" width="11" hidden="0" customWidth="1"/>
    <x:col min="13" max="13" width="12" hidden="0" customWidth="1"/>
    <x:col min="14" max="14" width="14" hidden="0" customWidth="1"/>
  </x:cols>
  <x:sheetData>
    <x:row r="1">
      <x:c r="A1" s="6" t="str">
        <x:v>Nutrition Scoring Model (FDA Daily Values)</x:v>
      </x:c>
    </x:row>
    <x:row r="4">
      <x:c r="A4" s="10" t="str">
        <x:v>Reference</x:v>
      </x:c>
      <x:c r="B4" s="10" t="str">
        <x:v>Value</x:v>
      </x:c>
      <x:c r="C4" s="10" t="str">
        <x:v>Role</x:v>
      </x:c>
      <x:c r="D4" s="10" t="str">
        <x:v>Source URL</x:v>
      </x:c>
      <x:c r="F4" s="10" t="str">
        <x:v>Scoring Piece</x:v>
      </x:c>
      <x:c r="G4" s="10" t="str">
        <x:v>Definition</x:v>
      </x:c>
      <x:c r="H4" s="10" t="str">
        <x:v>Direction</x:v>
      </x:c>
      <x:c r="I4" s="10" t="str">
        <x:v>Excel Formula Form</x:v>
      </x:c>
    </x:row>
    <x:row r="5">
      <x:c r="A5" t="str">
        <x:v>Calories reference</x:v>
      </x:c>
      <x:c r="B5" t="n">
        <x:v>2000</x:v>
      </x:c>
      <x:c r="C5" t="str">
        <x:v>Daily diet reference</x:v>
      </x:c>
      <x:c r="D5" t="str">
        <x:v>https://www.fda.gov/food/nutrition-facts-label/how-understand-and-use-nutrition-facts-label</x:v>
      </x:c>
      <x:c r="F5" t="str">
        <x:v>Calorie load</x:v>
      </x:c>
      <x:c r="G5" t="str">
        <x:v>calories / 2000</x:v>
      </x:c>
      <x:c r="H5" t="str">
        <x:v>Lower is better</x:v>
      </x:c>
      <x:c r="I5" t="n">
        <x:f>B13/$B$5</x:f>
        <x:v>0.325</x:v>
      </x:c>
    </x:row>
    <x:row r="6">
      <x:c r="A6" t="str">
        <x:v>Saturated fat DV (g)</x:v>
      </x:c>
      <x:c r="B6" t="n">
        <x:v>20</x:v>
      </x:c>
      <x:c r="C6" t="str">
        <x:v>Lower is better</x:v>
      </x:c>
      <x:c r="D6" t="str">
        <x:v>https://www.fda.gov/food/nutrition-facts-label/how-understand-and-use-nutrition-facts-label</x:v>
      </x:c>
      <x:c r="F6" t="str">
        <x:v>Sat fat load</x:v>
      </x:c>
      <x:c r="G6" t="str">
        <x:v>sat fat / 20</x:v>
      </x:c>
      <x:c r="H6" t="str">
        <x:v>Lower is better</x:v>
      </x:c>
      <x:c r="I6" t="n">
        <x:f>C13/$B$6</x:f>
        <x:v>0.2</x:v>
      </x:c>
    </x:row>
    <x:row r="7">
      <x:c r="A7" t="str">
        <x:v>Sodium DV (mg)</x:v>
      </x:c>
      <x:c r="B7" t="n">
        <x:v>2300</x:v>
      </x:c>
      <x:c r="C7" t="str">
        <x:v>Lower is better</x:v>
      </x:c>
      <x:c r="D7" t="str">
        <x:v>https://www.fda.gov/food/nutrition-facts-label/how-understand-and-use-nutrition-facts-label</x:v>
      </x:c>
      <x:c r="F7" t="str">
        <x:v>Sodium load</x:v>
      </x:c>
      <x:c r="G7" t="str">
        <x:v>sodium / 2300</x:v>
      </x:c>
      <x:c r="H7" t="str">
        <x:v>Lower is better</x:v>
      </x:c>
      <x:c r="I7" t="n">
        <x:f>D13/$B$7</x:f>
        <x:v>0.3391304347826087</x:v>
      </x:c>
    </x:row>
    <x:row r="8">
      <x:c r="A8" t="str">
        <x:v>Added sugars DV (g)</x:v>
      </x:c>
      <x:c r="B8" t="n">
        <x:v>50</x:v>
      </x:c>
      <x:c r="C8" t="str">
        <x:v>Lower is better</x:v>
      </x:c>
      <x:c r="D8" t="str">
        <x:v>https://www.fda.gov/food/nutrition-facts-label/how-understand-and-use-nutrition-facts-label</x:v>
      </x:c>
      <x:c r="F8" t="str">
        <x:v>Added sugar load</x:v>
      </x:c>
      <x:c r="G8" t="str">
        <x:v>added sugar / 50</x:v>
      </x:c>
      <x:c r="H8" t="str">
        <x:v>Lower is better</x:v>
      </x:c>
      <x:c r="I8" t="n">
        <x:f>E13/$B$8</x:f>
        <x:v>0.12</x:v>
      </x:c>
    </x:row>
    <x:row r="9">
      <x:c r="A9" t="str">
        <x:v>Dietary fiber DV (g)</x:v>
      </x:c>
      <x:c r="B9" t="n">
        <x:v>28</x:v>
      </x:c>
      <x:c r="C9" t="str">
        <x:v>Higher is better</x:v>
      </x:c>
      <x:c r="D9" t="str">
        <x:v>https://www.fda.gov/food/nutrition-facts-label/how-understand-and-use-nutrition-facts-label</x:v>
      </x:c>
      <x:c r="F9" t="str">
        <x:v>Fiber gap</x:v>
      </x:c>
      <x:c r="G9" t="str">
        <x:v>1 - MIN(fiber/28,1)</x:v>
      </x:c>
      <x:c r="H9" t="str">
        <x:v>Lower is better</x:v>
      </x:c>
      <x:c r="I9" t="n">
        <x:f>MAX(0,1-MIN(F13/$B$9,1))</x:f>
        <x:v>0.75</x:v>
      </x:c>
    </x:row>
    <x:row r="10">
      <x:c r="A10" t="str">
        <x:v>Protein DV (g)</x:v>
      </x:c>
      <x:c r="B10" t="n">
        <x:v>50</x:v>
      </x:c>
      <x:c r="C10" t="str">
        <x:v>Higher is better</x:v>
      </x:c>
      <x:c r="D10" t="str">
        <x:v>https://www.fda.gov/food/nutrition-facts-label/how-understand-and-use-nutrition-facts-label</x:v>
      </x:c>
      <x:c r="F10" t="str">
        <x:v>Protein gap</x:v>
      </x:c>
      <x:c r="G10" t="str">
        <x:v>1 - MIN(protein/50,1)</x:v>
      </x:c>
      <x:c r="H10" t="str">
        <x:v>Lower is better</x:v>
      </x:c>
      <x:c r="I10" t="n">
        <x:f>MAX(0,1-MIN(G13/$B$10,1))</x:f>
        <x:v>0.36</x:v>
      </x:c>
    </x:row>
    <x:row r="11">
      <x:c r="F11" t="str">
        <x:v>Nutrition burden</x:v>
      </x:c>
      <x:c r="G11" t="str">
        <x:v>average of the 6 normalized pieces</x:v>
      </x:c>
      <x:c r="H11" t="str">
        <x:v>Lower is better</x:v>
      </x:c>
      <x:c r="I11" t="n">
        <x:f>AVERAGE(H13:M13)</x:f>
        <x:v>0.3490217391304347</x:v>
      </x:c>
    </x:row>
    <x:row r="12">
      <x:c r="A12" s="10" t="str">
        <x:v>Meal / Item</x:v>
      </x:c>
      <x:c r="B12" s="10" t="str">
        <x:v>Calories</x:v>
      </x:c>
      <x:c r="C12" s="10" t="str">
        <x:v>Sat Fat (g)</x:v>
      </x:c>
      <x:c r="D12" s="10" t="str">
        <x:v>Sodium (mg)</x:v>
      </x:c>
      <x:c r="E12" s="10" t="str">
        <x:v>Added Sugars (g)</x:v>
      </x:c>
      <x:c r="F12" s="10" t="str">
        <x:v>Fiber (g)</x:v>
      </x:c>
      <x:c r="G12" s="10" t="str">
        <x:v>Protein (g)</x:v>
      </x:c>
      <x:c r="H12" s="10" t="str">
        <x:v>Calorie Load</x:v>
      </x:c>
      <x:c r="I12" s="10" t="str">
        <x:v>Sat Fat Load</x:v>
      </x:c>
      <x:c r="J12" s="10" t="str">
        <x:v>Sodium Load</x:v>
      </x:c>
      <x:c r="K12" s="10" t="str">
        <x:v>Added Sugar Load</x:v>
      </x:c>
      <x:c r="L12" s="10" t="str">
        <x:v>Fiber Gap</x:v>
      </x:c>
      <x:c r="M12" s="10" t="str">
        <x:v>Protein Gap</x:v>
      </x:c>
      <x:c r="N12" s="10" t="str">
        <x:v>Nutrition Score (0-100)</x:v>
      </x:c>
    </x:row>
    <x:row r="13">
      <x:c r="A13" t="str">
        <x:v>Example Chicken Rice Bowl</x:v>
      </x:c>
      <x:c r="B13" s="16" t="n">
        <x:v>650</x:v>
      </x:c>
      <x:c r="C13" s="16" t="n">
        <x:v>4</x:v>
      </x:c>
      <x:c r="D13" s="16" t="n">
        <x:v>780</x:v>
      </x:c>
      <x:c r="E13" s="16" t="n">
        <x:v>6</x:v>
      </x:c>
      <x:c r="F13" s="16" t="n">
        <x:v>7</x:v>
      </x:c>
      <x:c r="G13" s="16" t="n">
        <x:v>32</x:v>
      </x:c>
      <x:c r="H13" s="18" t="n">
        <x:f>B13/$B$5</x:f>
        <x:v>0.325</x:v>
      </x:c>
      <x:c r="I13" s="18" t="n">
        <x:f>C13/$B$6</x:f>
        <x:v>0.2</x:v>
      </x:c>
      <x:c r="J13" s="18" t="n">
        <x:f>D13/$B$7</x:f>
        <x:v>0.3391304347826087</x:v>
      </x:c>
      <x:c r="K13" s="18" t="n">
        <x:f>E13/$B$8</x:f>
        <x:v>0.12</x:v>
      </x:c>
      <x:c r="L13" s="18" t="n">
        <x:f>MAX(0,1-MIN(F13/$B$9,1))</x:f>
        <x:v>0.75</x:v>
      </x:c>
      <x:c r="M13" s="18" t="n">
        <x:f>MAX(0,1-MIN(G13/$B$10,1))</x:f>
        <x:v>0.36</x:v>
      </x:c>
      <x:c r="N13" s="16" t="n">
        <x:f>100*(1-AVERAGE(H13:M13))</x:f>
        <x:v>65.09782608695653</x:v>
      </x:c>
    </x:row>
    <x:row r="14">
      <x:c r="A14" t="str">
        <x:v>Example Beef Burger</x:v>
      </x:c>
      <x:c r="B14" s="16" t="n">
        <x:v>860</x:v>
      </x:c>
      <x:c r="C14" s="16" t="n">
        <x:v>11</x:v>
      </x:c>
      <x:c r="D14" s="16" t="n">
        <x:v>1260</x:v>
      </x:c>
      <x:c r="E14" s="16" t="n">
        <x:v>9</x:v>
      </x:c>
      <x:c r="F14" s="16" t="n">
        <x:v>3</x:v>
      </x:c>
      <x:c r="G14" s="16" t="n">
        <x:v>34</x:v>
      </x:c>
      <x:c r="H14" s="18" t="n">
        <x:f>B14/$B$5</x:f>
        <x:v>0.43</x:v>
      </x:c>
      <x:c r="I14" s="18" t="n">
        <x:f>C14/$B$6</x:f>
        <x:v>0.55</x:v>
      </x:c>
      <x:c r="J14" s="18" t="n">
        <x:f>D14/$B$7</x:f>
        <x:v>0.5478260869565217</x:v>
      </x:c>
      <x:c r="K14" s="18" t="n">
        <x:f>E14/$B$8</x:f>
        <x:v>0.18</x:v>
      </x:c>
      <x:c r="L14" s="18" t="n">
        <x:f>MAX(0,1-MIN(F14/$B$9,1))</x:f>
        <x:v>0.8928571428571429</x:v>
      </x:c>
      <x:c r="M14" s="18" t="n">
        <x:f>MAX(0,1-MIN(G14/$B$10,1))</x:f>
        <x:v>0.31999999999999995</x:v>
      </x:c>
      <x:c r="N14" s="16" t="n">
        <x:f>100*(1-AVERAGE(H14:M14))</x:f>
        <x:v>51.32194616977226</x:v>
      </x:c>
    </x:row>
    <x:row r="15">
      <x:c r="A15" t="str">
        <x:v>Example Lentil Bowl</x:v>
      </x:c>
      <x:c r="B15" s="16" t="n">
        <x:v>540</x:v>
      </x:c>
      <x:c r="C15" s="16" t="n">
        <x:v>2</x:v>
      </x:c>
      <x:c r="D15" s="16" t="n">
        <x:v>640</x:v>
      </x:c>
      <x:c r="E15" s="16" t="n">
        <x:v>4</x:v>
      </x:c>
      <x:c r="F15" s="16" t="n">
        <x:v>14</x:v>
      </x:c>
      <x:c r="G15" s="16" t="n">
        <x:v>24</x:v>
      </x:c>
      <x:c r="H15" s="18" t="n">
        <x:f>B15/$B$5</x:f>
        <x:v>0.27</x:v>
      </x:c>
      <x:c r="I15" s="18" t="n">
        <x:f>C15/$B$6</x:f>
        <x:v>0.1</x:v>
      </x:c>
      <x:c r="J15" s="18" t="n">
        <x:f>D15/$B$7</x:f>
        <x:v>0.2782608695652174</x:v>
      </x:c>
      <x:c r="K15" s="18" t="n">
        <x:f>E15/$B$8</x:f>
        <x:v>0.08</x:v>
      </x:c>
      <x:c r="L15" s="18" t="n">
        <x:f>MAX(0,1-MIN(F15/$B$9,1))</x:f>
        <x:v>0.5</x:v>
      </x:c>
      <x:c r="M15" s="18" t="n">
        <x:f>MAX(0,1-MIN(G15/$B$10,1))</x:f>
        <x:v>0.52</x:v>
      </x:c>
      <x:c r="N15" s="16" t="n">
        <x:f>100*(1-AVERAGE(H15:M15))</x:f>
        <x:v>70.86231884057972</x:v>
      </x:c>
    </x:row>
  </x:sheetData>
  <x:mergeCells>
    <x:mergeCell ref="A1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2" hidden="0" customWidth="1"/>
    <x:col min="4" max="4" width="14" hidden="0" customWidth="1"/>
    <x:col min="5" max="5" width="18" hidden="0" customWidth="1"/>
    <x:col min="6" max="6" width="22" hidden="0" customWidth="1"/>
    <x:col min="8" max="8" width="26" hidden="0" customWidth="1"/>
    <x:col min="9" max="9" width="14" hidden="0" customWidth="1"/>
    <x:col min="10" max="10" width="12" hidden="0" customWidth="1"/>
    <x:col min="11" max="11" width="12" hidden="0" customWidth="1"/>
    <x:col min="12" max="12" width="15" hidden="0" customWidth="1"/>
    <x:col min="13" max="13" width="10" hidden="0" customWidth="1"/>
    <x:col min="14" max="14" width="11" hidden="0" customWidth="1"/>
  </x:cols>
  <x:sheetData>
    <x:row r="1">
      <x:c r="A1" s="6" t="str">
        <x:v>Meal Calculator: Sustainability + Nutrition</x:v>
      </x:c>
    </x:row>
    <x:row r="4">
      <x:c r="A4" s="10" t="str">
        <x:v>Ingredient</x:v>
      </x:c>
      <x:c r="B4" s="10" t="str">
        <x:v>Mass (kg)</x:v>
      </x:c>
      <x:c r="C4" s="10" t="str">
        <x:v>Burden Lookup</x:v>
      </x:c>
      <x:c r="D4" s="10" t="str">
        <x:v>Weighted Burden</x:v>
      </x:c>
      <x:c r="E4" s="10" t="str">
        <x:v>Weighted Burden Points</x:v>
      </x:c>
      <x:c r="F4" s="10" t="str">
        <x:v>Notes</x:v>
      </x:c>
      <x:c r="H4" s="10" t="str">
        <x:v>Meal Sustainability Outputs</x:v>
      </x:c>
      <x:c r="I4" s="10" t="str">
        <x:v>Value</x:v>
      </x:c>
    </x:row>
    <x:row r="5">
      <x:c r="A5" t="str">
        <x:v>Poultry Meat</x:v>
      </x:c>
      <x:c r="B5" s="18" t="n">
        <x:v>0.18</x:v>
      </x:c>
      <x:c r="C5" s="18" t="n">
        <x:f>IFERROR(VLOOKUP(A5,Sustainability_Data!A:I,8,FALSE),"")</x:f>
        <x:v>0.08333730850010934</x:v>
      </x:c>
      <x:c r="D5" s="18" t="n">
        <x:f>IFERROR(B5*C5,"")</x:f>
        <x:v>0.01500071553001968</x:v>
      </x:c>
      <x:c r="E5" s="18" t="n">
        <x:f>IFERROR(100*B5*C5,"")</x:f>
        <x:v>1.5000715530019681</x:v>
      </x:c>
      <x:c r="F5" t="str">
        <x:v>Example input</x:v>
      </x:c>
      <x:c r="H5" t="str">
        <x:v>Total ingredient mass (kg)</x:v>
      </x:c>
      <x:c r="I5" s="18" t="n">
        <x:f>SUM(B5:B12)</x:f>
        <x:v>0.44999999999999996</x:v>
      </x:c>
    </x:row>
    <x:row r="6">
      <x:c r="A6" t="str">
        <x:v>Rice</x:v>
      </x:c>
      <x:c r="B6" s="18" t="n">
        <x:v>0.15</x:v>
      </x:c>
      <x:c r="C6" s="18" t="n">
        <x:f>IFERROR(VLOOKUP(A6,Sustainability_Data!A:I,8,FALSE),"")</x:f>
        <x:v>0.15112484599141804</x:v>
      </x:c>
      <x:c r="D6" s="18" t="n">
        <x:f>IFERROR(B6*C6,"")</x:f>
        <x:v>0.022668726898712705</x:v>
      </x:c>
      <x:c r="E6" s="18" t="n">
        <x:f>IFERROR(100*B6*C6,"")</x:f>
        <x:v>2.2668726898712706</x:v>
      </x:c>
      <x:c r="F6" t="str">
        <x:v>Example input</x:v>
      </x:c>
      <x:c r="H6" t="str">
        <x:v>Meal average burden</x:v>
      </x:c>
      <x:c r="I6" s="18" t="n">
        <x:f>IFERROR(SUM(D5:D12)/I5,"")</x:f>
        <x:v>0.08590824613939971</x:v>
      </x:c>
    </x:row>
    <x:row r="7">
      <x:c r="A7" t="str">
        <x:v>Other Vegetables</x:v>
      </x:c>
      <x:c r="B7" s="18" t="n">
        <x:v>0.12</x:v>
      </x:c>
      <x:c r="C7" s="18" t="n">
        <x:f>IFERROR(VLOOKUP(A7,Sustainability_Data!A:I,8,FALSE),"")</x:f>
        <x:v>0.008243902783312286</x:v>
      </x:c>
      <x:c r="D7" s="18" t="n">
        <x:f>IFERROR(B7*C7,"")</x:f>
        <x:v>0.0009892683339974742</x:v>
      </x:c>
      <x:c r="E7" s="18" t="n">
        <x:f>IFERROR(100*B7*C7,"")</x:f>
        <x:v>0.09892683339974742</x:v>
      </x:c>
      <x:c r="F7" t="str">
        <x:v>Example input</x:v>
      </x:c>
      <x:c r="H7" t="str">
        <x:v>Meal sustainability score</x:v>
      </x:c>
      <x:c r="I7" s="18" t="n">
        <x:f>IFERROR(100*(Sustainability_Data!$B$9-I6)/(Sustainability_Data!$B$9-Sustainability_Data!$B$8),"")</x:f>
        <x:v>88.31615364618514</x:v>
      </x:c>
    </x:row>
    <x:row r="8">
      <x:c r="A8" t="str"/>
      <x:c r="B8" s="18" t="n">
        <x:v>0</x:v>
      </x:c>
      <x:c r="C8" s="18" t="str">
        <x:f>IFERROR(VLOOKUP(A8,Sustainability_Data!A:I,8,FALSE),"")</x:f>
      </x:c>
      <x:c r="D8" s="18" t="n">
        <x:f>IFERROR(B8*C8,"")</x:f>
        <x:v>0</x:v>
      </x:c>
      <x:c r="E8" s="18" t="n">
        <x:f>IFERROR(100*B8*C8,"")</x:f>
        <x:v>0</x:v>
      </x:c>
      <x:c r="F8" t="str"/>
      <x:c r="H8" t="str">
        <x:v>Total burden points</x:v>
      </x:c>
      <x:c r="I8" s="18" t="n">
        <x:f>SUM(E5:E12)</x:f>
        <x:v>3.865871076272986</x:v>
      </x:c>
    </x:row>
    <x:row r="9">
      <x:c r="A9" t="str"/>
      <x:c r="B9" s="18" t="n">
        <x:v>0</x:v>
      </x:c>
      <x:c r="C9" s="18" t="str">
        <x:f>IFERROR(VLOOKUP(A9,Sustainability_Data!A:I,8,FALSE),"")</x:f>
      </x:c>
      <x:c r="D9" s="18" t="n">
        <x:f>IFERROR(B9*C9,"")</x:f>
        <x:v>0</x:v>
      </x:c>
      <x:c r="E9" s="18" t="n">
        <x:f>IFERROR(100*B9*C9,"")</x:f>
        <x:v>0</x:v>
      </x:c>
      <x:c r="F9" t="str"/>
    </x:row>
    <x:row r="10">
      <x:c r="A10" t="str"/>
      <x:c r="B10" s="18" t="n">
        <x:v>0</x:v>
      </x:c>
      <x:c r="C10" s="18" t="str">
        <x:f>IFERROR(VLOOKUP(A10,Sustainability_Data!A:I,8,FALSE),"")</x:f>
      </x:c>
      <x:c r="D10" s="18" t="n">
        <x:f>IFERROR(B10*C10,"")</x:f>
        <x:v>0</x:v>
      </x:c>
      <x:c r="E10" s="18" t="n">
        <x:f>IFERROR(100*B10*C10,"")</x:f>
        <x:v>0</x:v>
      </x:c>
      <x:c r="F10" t="str"/>
    </x:row>
    <x:row r="11">
      <x:c r="A11" t="str"/>
      <x:c r="B11" s="18" t="n">
        <x:v>0</x:v>
      </x:c>
      <x:c r="C11" s="18" t="str">
        <x:f>IFERROR(VLOOKUP(A11,Sustainability_Data!A:I,8,FALSE),"")</x:f>
      </x:c>
      <x:c r="D11" s="18" t="n">
        <x:f>IFERROR(B11*C11,"")</x:f>
        <x:v>0</x:v>
      </x:c>
      <x:c r="E11" s="18" t="n">
        <x:f>IFERROR(100*B11*C11,"")</x:f>
        <x:v>0</x:v>
      </x:c>
      <x:c r="F11" t="str"/>
      <x:c r="H11" s="10" t="str">
        <x:v>Meal Nutrition Inputs</x:v>
      </x:c>
      <x:c r="I11" s="10" t="str">
        <x:v>Calories</x:v>
      </x:c>
      <x:c r="J11" s="10" t="str">
        <x:v>Sat Fat (g)</x:v>
      </x:c>
      <x:c r="K11" s="10" t="str">
        <x:v>Sodium (mg)</x:v>
      </x:c>
      <x:c r="L11" s="10" t="str">
        <x:v>Added Sugars (g)</x:v>
      </x:c>
      <x:c r="M11" s="10" t="str">
        <x:v>Fiber (g)</x:v>
      </x:c>
      <x:c r="N11" s="10" t="str">
        <x:v>Protein (g)</x:v>
      </x:c>
    </x:row>
    <x:row r="12">
      <x:c r="A12" t="str"/>
      <x:c r="B12" s="18" t="n">
        <x:v>0</x:v>
      </x:c>
      <x:c r="C12" s="18" t="str">
        <x:f>IFERROR(VLOOKUP(A12,Sustainability_Data!A:I,8,FALSE),"")</x:f>
      </x:c>
      <x:c r="D12" s="18" t="n">
        <x:f>IFERROR(B12*C12,"")</x:f>
        <x:v>0</x:v>
      </x:c>
      <x:c r="E12" s="18" t="n">
        <x:f>IFERROR(100*B12*C12,"")</x:f>
        <x:v>0</x:v>
      </x:c>
      <x:c r="F12" t="str"/>
      <x:c r="H12" t="str">
        <x:v>Per serving totals</x:v>
      </x:c>
      <x:c r="I12" s="16" t="n">
        <x:v>650</x:v>
      </x:c>
      <x:c r="J12" s="16" t="n">
        <x:v>4</x:v>
      </x:c>
      <x:c r="K12" s="16" t="n">
        <x:v>780</x:v>
      </x:c>
      <x:c r="L12" s="16" t="n">
        <x:v>6</x:v>
      </x:c>
      <x:c r="M12" s="16" t="n">
        <x:v>7</x:v>
      </x:c>
      <x:c r="N12" s="16" t="n">
        <x:v>32</x:v>
      </x:c>
    </x:row>
    <x:row r="14">
      <x:c r="H14" s="10" t="str">
        <x:v>Nutrition Outputs</x:v>
      </x:c>
      <x:c r="I14" s="10" t="str">
        <x:v>Calorie Load</x:v>
      </x:c>
      <x:c r="J14" s="10" t="str">
        <x:v>Sat Fat Load</x:v>
      </x:c>
      <x:c r="K14" s="10" t="str">
        <x:v>Sodium Load</x:v>
      </x:c>
      <x:c r="L14" s="10" t="str">
        <x:v>Added Sugar Load</x:v>
      </x:c>
      <x:c r="M14" s="10" t="str">
        <x:v>Fiber Gap</x:v>
      </x:c>
      <x:c r="N14" s="10" t="str">
        <x:v>Protein Gap</x:v>
      </x:c>
    </x:row>
    <x:row r="15">
      <x:c r="I15" s="18" t="n">
        <x:f>I12/Nutrition_Model!$B$5</x:f>
        <x:v>0.325</x:v>
      </x:c>
      <x:c r="J15" s="18" t="n">
        <x:f>J12/Nutrition_Model!$B$6</x:f>
        <x:v>0.2</x:v>
      </x:c>
      <x:c r="K15" s="18" t="n">
        <x:f>K12/Nutrition_Model!$B$7</x:f>
        <x:v>0.3391304347826087</x:v>
      </x:c>
      <x:c r="L15" s="18" t="n">
        <x:f>L12/Nutrition_Model!$B$8</x:f>
        <x:v>0.12</x:v>
      </x:c>
      <x:c r="M15" s="18" t="n">
        <x:f>MAX(0,1-MIN(M12/Nutrition_Model!$B$9,1))</x:f>
        <x:v>0.75</x:v>
      </x:c>
      <x:c r="N15" s="18" t="n">
        <x:f>MAX(0,1-MIN(N12/Nutrition_Model!$B$10,1))</x:f>
        <x:v>0.36</x:v>
      </x:c>
    </x:row>
    <x:row r="17">
      <x:c r="H17" s="10" t="str">
        <x:v>Nutrition Summary</x:v>
      </x:c>
      <x:c r="I17" s="10" t="str">
        <x:v>Value</x:v>
      </x:c>
    </x:row>
    <x:row r="18">
      <x:c r="H18" t="str">
        <x:v>Nutrition burden</x:v>
      </x:c>
      <x:c r="I18" s="16" t="n">
        <x:f>AVERAGE(I15:N15)</x:f>
        <x:v>0.3490217391304347</x:v>
      </x:c>
    </x:row>
    <x:row r="19">
      <x:c r="H19" t="str">
        <x:v>Nutrition score</x:v>
      </x:c>
      <x:c r="I19" s="16" t="n">
        <x:f>100*(1-I18)</x:f>
        <x:v>65.09782608695653</x:v>
      </x:c>
    </x:row>
    <x:row r="20">
      <x:c r="H20" t="str">
        <x:v>Simple average of sustainability + nutrition</x:v>
      </x:c>
      <x:c r="I20" s="16" t="n">
        <x:f>AVERAGE(I7,I19)</x:f>
        <x:v>76.70698986657084</x:v>
      </x:c>
    </x:row>
  </x:sheetData>
  <x:mergeCells>
    <x:mergeCell ref="A1:J2"/>
  </x:mergeCells>
  <x:pageMargins left="0.7" right="0.7" top="0.75" bottom="0.75" header="0.3" footer="0.3"/>
</x:worksheet>
</file>